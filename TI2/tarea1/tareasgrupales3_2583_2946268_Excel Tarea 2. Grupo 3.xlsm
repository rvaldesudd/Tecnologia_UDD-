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jow\OneDrive\Desktop\UDD 2021\T.I 2\"/>
    </mc:Choice>
  </mc:AlternateContent>
  <xr:revisionPtr revIDLastSave="0" documentId="8_{FB07DAE4-2A7E-434B-B13F-007EC47E6D2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R" sheetId="1" r:id="rId1"/>
    <sheet name="Resumen Ejecutivo" sheetId="2" r:id="rId2"/>
    <sheet name="Lista precio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D14" i="2"/>
  <c r="H6" i="2"/>
  <c r="E6" i="2"/>
  <c r="F6" i="2"/>
  <c r="G6" i="2"/>
  <c r="D6" i="2"/>
  <c r="E17" i="1"/>
  <c r="E14" i="1"/>
  <c r="F9" i="1"/>
  <c r="E9" i="1"/>
  <c r="E11" i="1" s="1"/>
  <c r="F8" i="1"/>
  <c r="E8" i="1"/>
  <c r="F7" i="1"/>
  <c r="E7" i="1"/>
  <c r="F11" i="1" l="1"/>
  <c r="E13" i="1" s="1"/>
</calcChain>
</file>

<file path=xl/sharedStrings.xml><?xml version="1.0" encoding="utf-8"?>
<sst xmlns="http://schemas.openxmlformats.org/spreadsheetml/2006/main" count="38" uniqueCount="37">
  <si>
    <t>al</t>
  </si>
  <si>
    <t>ESTADO DE RESULTADOS</t>
  </si>
  <si>
    <t>Estado de Resultados del</t>
  </si>
  <si>
    <t>UTILIDAD BRUTA</t>
  </si>
  <si>
    <t>Gastos operacionales</t>
  </si>
  <si>
    <t>UTILIDAD NETA</t>
  </si>
  <si>
    <t>FONDA "COVID-18"</t>
  </si>
  <si>
    <t xml:space="preserve">Entradas </t>
  </si>
  <si>
    <t>Alimentos (choripan-anticucho-empanada)</t>
  </si>
  <si>
    <t>Bebestibles (terremoto-cerveza-bebidas-agua)</t>
  </si>
  <si>
    <t>Precio</t>
  </si>
  <si>
    <t>Concepto</t>
  </si>
  <si>
    <t>VENTAS NETAS Y COSTO NETO</t>
  </si>
  <si>
    <t>Precios</t>
  </si>
  <si>
    <t>Costos</t>
  </si>
  <si>
    <t>Inv. Inicial</t>
  </si>
  <si>
    <t>Tasa Anual</t>
  </si>
  <si>
    <t>TIR</t>
  </si>
  <si>
    <t>VAN</t>
  </si>
  <si>
    <t>Ingresos</t>
  </si>
  <si>
    <t>Egresos</t>
  </si>
  <si>
    <t>ER</t>
  </si>
  <si>
    <t>2021 (Año 0)</t>
  </si>
  <si>
    <t>2022 (Año 1)</t>
  </si>
  <si>
    <t>2023 (Año 2)</t>
  </si>
  <si>
    <t>2024 (Año 3)</t>
  </si>
  <si>
    <t>2025 (Año 4)</t>
  </si>
  <si>
    <t>2026 (Año 5)</t>
  </si>
  <si>
    <t>-</t>
  </si>
  <si>
    <t>Entradas</t>
  </si>
  <si>
    <t>Choripan</t>
  </si>
  <si>
    <t>Anticucho</t>
  </si>
  <si>
    <t>Empanadas</t>
  </si>
  <si>
    <t>Terremoto</t>
  </si>
  <si>
    <t>Cerveza</t>
  </si>
  <si>
    <t>Bebida</t>
  </si>
  <si>
    <t>Agua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</si>
</sst>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;[Red]&quot;$&quot;\-#,##0"/>
    <numFmt numFmtId="42" formatCode="_ &quot;$&quot;* #,##0_ ;_ &quot;$&quot;* \-#,##0_ ;_ &quot;$&quot;* &quot;-&quot;_ ;_ @_ "/>
    <numFmt numFmtId="168" formatCode="_ [$$-340A]* #,##0_ ;_ [$$-340A]* \-#,##0_ ;_ [$$-340A]* &quot;-&quot;??_ ;_ @_ "/>
    <numFmt numFmtId="170" formatCode="&quot;$&quot;#,##0"/>
    <numFmt numFmtId="171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0" xfId="0" applyFont="1"/>
    <xf numFmtId="14" fontId="1" fillId="0" borderId="1" xfId="0" applyNumberFormat="1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0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168" fontId="0" fillId="0" borderId="2" xfId="0" applyNumberFormat="1" applyBorder="1"/>
    <xf numFmtId="170" fontId="0" fillId="0" borderId="1" xfId="0" applyNumberFormat="1" applyBorder="1"/>
    <xf numFmtId="170" fontId="1" fillId="0" borderId="1" xfId="0" applyNumberFormat="1" applyFont="1" applyBorder="1"/>
    <xf numFmtId="168" fontId="0" fillId="2" borderId="2" xfId="0" applyNumberFormat="1" applyFill="1" applyBorder="1"/>
    <xf numFmtId="170" fontId="0" fillId="3" borderId="1" xfId="0" applyNumberFormat="1" applyFill="1" applyBorder="1"/>
    <xf numFmtId="170" fontId="1" fillId="3" borderId="1" xfId="0" applyNumberFormat="1" applyFont="1" applyFill="1" applyBorder="1"/>
    <xf numFmtId="168" fontId="0" fillId="3" borderId="2" xfId="0" applyNumberFormat="1" applyFill="1" applyBorder="1"/>
    <xf numFmtId="168" fontId="1" fillId="0" borderId="2" xfId="0" applyNumberFormat="1" applyFont="1" applyBorder="1"/>
    <xf numFmtId="42" fontId="0" fillId="4" borderId="1" xfId="1" applyFont="1" applyFill="1" applyBorder="1"/>
    <xf numFmtId="42" fontId="0" fillId="2" borderId="1" xfId="1" applyFont="1" applyFill="1" applyBorder="1"/>
    <xf numFmtId="0" fontId="0" fillId="5" borderId="1" xfId="0" applyFill="1" applyBorder="1"/>
    <xf numFmtId="0" fontId="0" fillId="6" borderId="1" xfId="0" applyFill="1" applyBorder="1"/>
    <xf numFmtId="0" fontId="1" fillId="6" borderId="5" xfId="0" applyFont="1" applyFill="1" applyBorder="1"/>
    <xf numFmtId="0" fontId="1" fillId="6" borderId="6" xfId="0" applyFont="1" applyFill="1" applyBorder="1"/>
    <xf numFmtId="0" fontId="1" fillId="6" borderId="1" xfId="0" applyFont="1" applyFill="1" applyBorder="1"/>
    <xf numFmtId="42" fontId="0" fillId="3" borderId="1" xfId="1" applyFont="1" applyFill="1" applyBorder="1"/>
    <xf numFmtId="42" fontId="0" fillId="4" borderId="0" xfId="1" applyFont="1" applyFill="1"/>
    <xf numFmtId="171" fontId="0" fillId="2" borderId="1" xfId="1" applyNumberFormat="1" applyFont="1" applyFill="1" applyBorder="1"/>
    <xf numFmtId="9" fontId="0" fillId="2" borderId="1" xfId="1" applyNumberFormat="1" applyFont="1" applyFill="1" applyBorder="1"/>
    <xf numFmtId="6" fontId="0" fillId="2" borderId="1" xfId="1" applyNumberFormat="1" applyFont="1" applyFill="1" applyBorder="1"/>
    <xf numFmtId="0" fontId="0" fillId="2" borderId="1" xfId="0" applyFill="1" applyBorder="1"/>
    <xf numFmtId="0" fontId="3" fillId="7" borderId="1" xfId="0" applyFont="1" applyFill="1" applyBorder="1"/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G19"/>
  <sheetViews>
    <sheetView topLeftCell="A2" zoomScale="124" zoomScaleNormal="124" workbookViewId="0">
      <selection activeCell="E9" sqref="E9"/>
    </sheetView>
  </sheetViews>
  <sheetFormatPr baseColWidth="10" defaultRowHeight="15" x14ac:dyDescent="0.25"/>
  <cols>
    <col min="2" max="2" width="22.85546875" customWidth="1"/>
    <col min="5" max="5" width="17.140625" bestFit="1" customWidth="1"/>
    <col min="6" max="6" width="16.42578125" customWidth="1"/>
  </cols>
  <sheetData>
    <row r="2" spans="2:7" x14ac:dyDescent="0.25">
      <c r="B2" s="8" t="s">
        <v>1</v>
      </c>
      <c r="C2" s="8"/>
      <c r="D2" s="8"/>
      <c r="E2" s="8"/>
    </row>
    <row r="3" spans="2:7" x14ac:dyDescent="0.25">
      <c r="B3" s="8" t="s">
        <v>6</v>
      </c>
      <c r="C3" s="8"/>
      <c r="D3" s="8"/>
      <c r="E3" s="8"/>
    </row>
    <row r="4" spans="2:7" x14ac:dyDescent="0.25">
      <c r="B4" s="1" t="s">
        <v>2</v>
      </c>
      <c r="C4" s="4">
        <v>44197</v>
      </c>
      <c r="D4" s="1" t="s">
        <v>0</v>
      </c>
      <c r="E4" s="4">
        <v>46387</v>
      </c>
    </row>
    <row r="5" spans="2:7" x14ac:dyDescent="0.25">
      <c r="B5" s="2"/>
      <c r="C5" s="2"/>
      <c r="D5" s="2"/>
      <c r="E5" s="2"/>
    </row>
    <row r="6" spans="2:7" x14ac:dyDescent="0.25">
      <c r="B6" s="8" t="s">
        <v>11</v>
      </c>
      <c r="C6" s="8"/>
      <c r="D6" s="8"/>
      <c r="E6" s="21" t="s">
        <v>13</v>
      </c>
      <c r="F6" s="5" t="s">
        <v>14</v>
      </c>
    </row>
    <row r="7" spans="2:7" x14ac:dyDescent="0.25">
      <c r="B7" s="7" t="s">
        <v>7</v>
      </c>
      <c r="C7" s="7"/>
      <c r="D7" s="7"/>
      <c r="E7" s="17">
        <f>2500*2000*5</f>
        <v>25000000</v>
      </c>
      <c r="F7" s="18">
        <f>(100*2500)*5</f>
        <v>1250000</v>
      </c>
    </row>
    <row r="8" spans="2:7" s="3" customFormat="1" x14ac:dyDescent="0.25">
      <c r="B8" s="7" t="s">
        <v>8</v>
      </c>
      <c r="C8" s="7"/>
      <c r="D8" s="7"/>
      <c r="E8" s="17">
        <f>(7500*1000+2500*1000+7500+1000)*5</f>
        <v>50042500</v>
      </c>
      <c r="F8" s="19">
        <f>(7500*150+2500*250+7500+200)*5</f>
        <v>8788500</v>
      </c>
    </row>
    <row r="9" spans="2:7" x14ac:dyDescent="0.25">
      <c r="B9" s="7" t="s">
        <v>9</v>
      </c>
      <c r="C9" s="7"/>
      <c r="D9" s="7"/>
      <c r="E9" s="17">
        <f>(7000*1000+7500*1000+7500*500+5000*250)*5</f>
        <v>97500000</v>
      </c>
      <c r="F9" s="18">
        <f>(7000*200+7500*200+7500*150+5000*100)*5</f>
        <v>22625000</v>
      </c>
    </row>
    <row r="10" spans="2:7" s="3" customFormat="1" x14ac:dyDescent="0.25">
      <c r="B10" s="7"/>
      <c r="C10" s="7"/>
      <c r="D10" s="7"/>
      <c r="E10" s="14"/>
      <c r="F10" s="16"/>
    </row>
    <row r="11" spans="2:7" x14ac:dyDescent="0.25">
      <c r="B11" s="6" t="s">
        <v>12</v>
      </c>
      <c r="C11" s="6"/>
      <c r="D11" s="6"/>
      <c r="E11" s="17">
        <f>E7+E8+E9</f>
        <v>172542500</v>
      </c>
      <c r="F11" s="18">
        <f>F7+F8+F9</f>
        <v>32663500</v>
      </c>
      <c r="G11" s="10"/>
    </row>
    <row r="12" spans="2:7" s="3" customFormat="1" x14ac:dyDescent="0.25">
      <c r="B12" s="9"/>
      <c r="C12" s="9"/>
      <c r="D12" s="9"/>
      <c r="E12" s="14"/>
      <c r="F12" s="16"/>
    </row>
    <row r="13" spans="2:7" x14ac:dyDescent="0.25">
      <c r="B13" s="6" t="s">
        <v>3</v>
      </c>
      <c r="C13" s="6"/>
      <c r="D13" s="6"/>
      <c r="E13" s="17">
        <f>E11-F11</f>
        <v>139879000</v>
      </c>
      <c r="F13" s="15"/>
    </row>
    <row r="14" spans="2:7" s="3" customFormat="1" x14ac:dyDescent="0.25">
      <c r="B14" s="7" t="s">
        <v>4</v>
      </c>
      <c r="C14" s="7"/>
      <c r="D14" s="7"/>
      <c r="E14" s="20">
        <f>(100*15000+1500000*3+1000000*3)*5</f>
        <v>45000000</v>
      </c>
      <c r="F14" s="16"/>
    </row>
    <row r="15" spans="2:7" x14ac:dyDescent="0.25">
      <c r="B15" s="11"/>
      <c r="C15" s="12"/>
      <c r="D15" s="13"/>
      <c r="E15" s="14"/>
      <c r="F15" s="15"/>
    </row>
    <row r="16" spans="2:7" s="3" customFormat="1" x14ac:dyDescent="0.25">
      <c r="B16" s="7"/>
      <c r="C16" s="7"/>
      <c r="D16" s="7"/>
      <c r="E16" s="14"/>
      <c r="F16" s="16"/>
    </row>
    <row r="17" spans="2:6" x14ac:dyDescent="0.25">
      <c r="B17" s="6" t="s">
        <v>5</v>
      </c>
      <c r="C17" s="6"/>
      <c r="D17" s="6"/>
      <c r="E17" s="17">
        <f>E13-E14</f>
        <v>94879000</v>
      </c>
      <c r="F17" s="15"/>
    </row>
    <row r="19" spans="2:6" s="3" customFormat="1" x14ac:dyDescent="0.25"/>
  </sheetData>
  <mergeCells count="14">
    <mergeCell ref="B12:D12"/>
    <mergeCell ref="B2:E2"/>
    <mergeCell ref="B3:E3"/>
    <mergeCell ref="B6:D6"/>
    <mergeCell ref="B7:D7"/>
    <mergeCell ref="B11:D11"/>
    <mergeCell ref="B8:D8"/>
    <mergeCell ref="B9:D9"/>
    <mergeCell ref="B10:D10"/>
    <mergeCell ref="B17:D17"/>
    <mergeCell ref="B13:D13"/>
    <mergeCell ref="B14:D14"/>
    <mergeCell ref="B15:D15"/>
    <mergeCell ref="B16:D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B803-6F14-4A72-8536-4330B63DC20D}">
  <dimension ref="B3:H15"/>
  <sheetViews>
    <sheetView workbookViewId="0">
      <selection activeCell="D8" sqref="D8"/>
    </sheetView>
  </sheetViews>
  <sheetFormatPr baseColWidth="10" defaultRowHeight="15" x14ac:dyDescent="0.25"/>
  <cols>
    <col min="3" max="3" width="12" bestFit="1" customWidth="1"/>
    <col min="4" max="4" width="14.7109375" bestFit="1" customWidth="1"/>
    <col min="5" max="9" width="12" bestFit="1" customWidth="1"/>
  </cols>
  <sheetData>
    <row r="3" spans="2:8" x14ac:dyDescent="0.25">
      <c r="B3" s="25"/>
      <c r="C3" s="26" t="s">
        <v>22</v>
      </c>
      <c r="D3" s="27" t="s">
        <v>23</v>
      </c>
      <c r="E3" s="27" t="s">
        <v>24</v>
      </c>
      <c r="F3" s="27" t="s">
        <v>25</v>
      </c>
      <c r="G3" s="27" t="s">
        <v>26</v>
      </c>
      <c r="H3" s="27" t="s">
        <v>27</v>
      </c>
    </row>
    <row r="4" spans="2:8" x14ac:dyDescent="0.25">
      <c r="B4" s="28" t="s">
        <v>19</v>
      </c>
      <c r="C4" s="22" t="s">
        <v>28</v>
      </c>
      <c r="D4" s="22">
        <v>34508500</v>
      </c>
      <c r="E4" s="22">
        <v>34508500</v>
      </c>
      <c r="F4" s="22">
        <v>34508500</v>
      </c>
      <c r="G4" s="22">
        <v>34508500</v>
      </c>
      <c r="H4" s="22">
        <v>34508500</v>
      </c>
    </row>
    <row r="5" spans="2:8" x14ac:dyDescent="0.25">
      <c r="B5" s="28" t="s">
        <v>20</v>
      </c>
      <c r="C5" s="30">
        <v>7000000</v>
      </c>
      <c r="D5" s="22">
        <v>6532700</v>
      </c>
      <c r="E5" s="22">
        <v>6532700</v>
      </c>
      <c r="F5" s="22">
        <v>6532700</v>
      </c>
      <c r="G5" s="22">
        <v>6532700</v>
      </c>
      <c r="H5" s="22">
        <v>6532700</v>
      </c>
    </row>
    <row r="6" spans="2:8" x14ac:dyDescent="0.25">
      <c r="B6" s="28" t="s">
        <v>21</v>
      </c>
      <c r="C6" s="29">
        <v>-7000000</v>
      </c>
      <c r="D6" s="22">
        <f>D4-D5</f>
        <v>27975800</v>
      </c>
      <c r="E6" s="22">
        <f t="shared" ref="E6:H6" si="0">E4-E5</f>
        <v>27975800</v>
      </c>
      <c r="F6" s="22">
        <f t="shared" si="0"/>
        <v>27975800</v>
      </c>
      <c r="G6" s="22">
        <f t="shared" si="0"/>
        <v>27975800</v>
      </c>
      <c r="H6" s="22">
        <f t="shared" si="0"/>
        <v>27975800</v>
      </c>
    </row>
    <row r="12" spans="2:8" x14ac:dyDescent="0.25">
      <c r="C12" s="24" t="s">
        <v>15</v>
      </c>
      <c r="D12" s="23">
        <v>7000000</v>
      </c>
    </row>
    <row r="13" spans="2:8" x14ac:dyDescent="0.25">
      <c r="C13" s="24" t="s">
        <v>16</v>
      </c>
      <c r="D13" s="31">
        <v>3.3000000000000002E-2</v>
      </c>
    </row>
    <row r="14" spans="2:8" x14ac:dyDescent="0.25">
      <c r="C14" s="24" t="s">
        <v>17</v>
      </c>
      <c r="D14" s="32">
        <f>IRR(C6:H6,0)</f>
        <v>3.9952578814691124</v>
      </c>
    </row>
    <row r="15" spans="2:8" x14ac:dyDescent="0.25">
      <c r="C15" s="24" t="s">
        <v>18</v>
      </c>
      <c r="D15" s="33">
        <f>NPV(D13,D6,E6,F6,G6,H6)-D12</f>
        <v>120030862.72978851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3AC6-91F0-44F6-944F-A4242D24C67B}">
  <dimension ref="B2:C10"/>
  <sheetViews>
    <sheetView tabSelected="1" zoomScale="140" zoomScaleNormal="140" workbookViewId="0">
      <selection activeCell="E9" sqref="E9"/>
    </sheetView>
  </sheetViews>
  <sheetFormatPr baseColWidth="10" defaultRowHeight="15" x14ac:dyDescent="0.25"/>
  <sheetData>
    <row r="2" spans="2:3" x14ac:dyDescent="0.25">
      <c r="B2" s="34" t="s">
        <v>11</v>
      </c>
      <c r="C2" s="35" t="s">
        <v>10</v>
      </c>
    </row>
    <row r="3" spans="2:3" x14ac:dyDescent="0.25">
      <c r="B3" s="34" t="s">
        <v>29</v>
      </c>
      <c r="C3" s="35">
        <v>2500</v>
      </c>
    </row>
    <row r="4" spans="2:3" x14ac:dyDescent="0.25">
      <c r="B4" s="34" t="s">
        <v>30</v>
      </c>
      <c r="C4" s="35">
        <v>1000</v>
      </c>
    </row>
    <row r="5" spans="2:3" x14ac:dyDescent="0.25">
      <c r="B5" s="34" t="s">
        <v>31</v>
      </c>
      <c r="C5" s="35">
        <v>1000</v>
      </c>
    </row>
    <row r="6" spans="2:3" x14ac:dyDescent="0.25">
      <c r="B6" s="34" t="s">
        <v>32</v>
      </c>
      <c r="C6" s="35">
        <v>1000</v>
      </c>
    </row>
    <row r="7" spans="2:3" x14ac:dyDescent="0.25">
      <c r="B7" s="34" t="s">
        <v>33</v>
      </c>
      <c r="C7" s="35">
        <v>1000</v>
      </c>
    </row>
    <row r="8" spans="2:3" x14ac:dyDescent="0.25">
      <c r="B8" s="34" t="s">
        <v>34</v>
      </c>
      <c r="C8" s="35">
        <v>1000</v>
      </c>
    </row>
    <row r="9" spans="2:3" x14ac:dyDescent="0.25">
      <c r="B9" s="34" t="s">
        <v>35</v>
      </c>
      <c r="C9" s="35">
        <v>500</v>
      </c>
    </row>
    <row r="10" spans="2:3" x14ac:dyDescent="0.25">
      <c r="B10" s="34" t="s">
        <v>36</v>
      </c>
      <c r="C10" s="35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ER</vt:lpstr>
      <vt:lpstr>Resumen Ejecutivo</vt:lpstr>
      <vt:lpstr>Lista precios</vt:lpstr>
    </vt:vector>
  </TitlesOfParts>
  <Company>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jojow</cp:lastModifiedBy>
  <dcterms:created xsi:type="dcterms:W3CDTF">2019-01-05T18:25:30Z</dcterms:created>
  <dcterms:modified xsi:type="dcterms:W3CDTF">2021-09-07T02:45:21Z</dcterms:modified>
</cp:coreProperties>
</file>